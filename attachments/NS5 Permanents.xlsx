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e\Desktop\"/>
    </mc:Choice>
  </mc:AlternateContent>
  <bookViews>
    <workbookView xWindow="0" yWindow="0" windowWidth="28740" windowHeight="121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4" i="1"/>
  <c r="I15" i="1"/>
  <c r="I14" i="1"/>
  <c r="I13" i="1"/>
  <c r="I12" i="1"/>
  <c r="I11" i="1"/>
  <c r="I10" i="1"/>
  <c r="I9" i="1"/>
  <c r="I8" i="1"/>
  <c r="I7" i="1"/>
  <c r="I6" i="1"/>
  <c r="I5" i="1"/>
  <c r="I4" i="1"/>
  <c r="G15" i="1"/>
  <c r="G14" i="1"/>
  <c r="G13" i="1"/>
  <c r="G12" i="1"/>
  <c r="G11" i="1"/>
  <c r="G10" i="1"/>
  <c r="G9" i="1"/>
  <c r="G8" i="1"/>
  <c r="G7" i="1"/>
  <c r="G6" i="1"/>
  <c r="G5" i="1"/>
  <c r="G4" i="1"/>
  <c r="E15" i="1"/>
  <c r="E14" i="1"/>
  <c r="E13" i="1"/>
  <c r="E12" i="1"/>
  <c r="E11" i="1"/>
  <c r="E10" i="1"/>
  <c r="E9" i="1"/>
  <c r="E8" i="1"/>
  <c r="E7" i="1"/>
  <c r="E6" i="1"/>
  <c r="E5" i="1"/>
  <c r="E4" i="1"/>
  <c r="C5" i="1"/>
  <c r="C6" i="1"/>
  <c r="C7" i="1"/>
  <c r="C8" i="1"/>
  <c r="C9" i="1"/>
  <c r="C10" i="1"/>
  <c r="C11" i="1"/>
  <c r="C12" i="1"/>
  <c r="C13" i="1"/>
  <c r="C14" i="1"/>
  <c r="C15" i="1"/>
  <c r="C4" i="1"/>
</calcChain>
</file>

<file path=xl/sharedStrings.xml><?xml version="1.0" encoding="utf-8"?>
<sst xmlns="http://schemas.openxmlformats.org/spreadsheetml/2006/main" count="46" uniqueCount="35">
  <si>
    <t>PERMANENT CREW</t>
  </si>
  <si>
    <t>Captain Kluck</t>
  </si>
  <si>
    <t>Captain Tuck</t>
  </si>
  <si>
    <t>C/M Rosca</t>
  </si>
  <si>
    <t>C/M Shahbin</t>
  </si>
  <si>
    <t>C/E Tesson</t>
  </si>
  <si>
    <t>C/E Navarrete</t>
  </si>
  <si>
    <t>1AE Jensen</t>
  </si>
  <si>
    <t>1AE Novak</t>
  </si>
  <si>
    <t>Gas 2 Albrecht</t>
  </si>
  <si>
    <t>Gas 2 Walkup</t>
  </si>
  <si>
    <t>SOCP SASH</t>
  </si>
  <si>
    <t>Issued</t>
  </si>
  <si>
    <t>Expires</t>
  </si>
  <si>
    <t>FAMILIARIZATION</t>
  </si>
  <si>
    <t>CYBER SECURITY</t>
  </si>
  <si>
    <t>INTERNET USAGE</t>
  </si>
  <si>
    <t>HAZMAT TRAINING</t>
  </si>
  <si>
    <t>NSE TRAINING CERTIFICATES</t>
  </si>
  <si>
    <t>NSE TRAINING CODES:</t>
  </si>
  <si>
    <t>(to be used in NSE-training)</t>
  </si>
  <si>
    <t>SOCP SASH: SVO-SMM-03</t>
  </si>
  <si>
    <t>Familiarization: SMM-PER-05-AP1</t>
  </si>
  <si>
    <t>Cyber Sec: SMM-SMM-08-AP3</t>
  </si>
  <si>
    <t>Internet Usage: SMM-SMM-08</t>
  </si>
  <si>
    <t>Hazmat: SMM-OPS-11</t>
  </si>
  <si>
    <t>VALIDITY</t>
  </si>
  <si>
    <t>1 Year</t>
  </si>
  <si>
    <t>3 Years</t>
  </si>
  <si>
    <t>* YELLOW HIGHLIGHTED BOX = EXPIRES IN 90 DAYS OR LESS</t>
  </si>
  <si>
    <t>* RED NUMBERS = ALREADY EXPIRED, NEEDS UPDATING</t>
  </si>
  <si>
    <t>* ANYTHING IN BLUE WRITING CAN BE EDITED</t>
  </si>
  <si>
    <t>* BLACK NUMBERS = STILL VALID</t>
  </si>
  <si>
    <t>Bosun Gupta</t>
  </si>
  <si>
    <t>Steward Huyett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</si>
</sst>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36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6" xfId="0" applyNumberFormat="1" applyBorder="1"/>
    <xf numFmtId="14" fontId="0" fillId="0" borderId="8" xfId="0" applyNumberFormat="1" applyBorder="1"/>
    <xf numFmtId="14" fontId="0" fillId="0" borderId="9" xfId="0" applyNumberFormat="1" applyBorder="1"/>
    <xf numFmtId="14" fontId="0" fillId="0" borderId="10" xfId="0" applyNumberFormat="1" applyBorder="1"/>
    <xf numFmtId="164" fontId="2" fillId="0" borderId="3" xfId="1" applyNumberFormat="1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13" xfId="0" applyBorder="1"/>
    <xf numFmtId="0" fontId="2" fillId="0" borderId="0" xfId="0" applyFont="1"/>
    <xf numFmtId="0" fontId="0" fillId="2" borderId="5" xfId="0" applyFill="1" applyBorder="1"/>
    <xf numFmtId="0" fontId="0" fillId="2" borderId="9" xfId="0" applyFill="1" applyBorder="1"/>
    <xf numFmtId="0" fontId="0" fillId="2" borderId="6" xfId="0" applyFill="1" applyBorder="1"/>
    <xf numFmtId="0" fontId="0" fillId="3" borderId="18" xfId="0" applyFill="1" applyBorder="1"/>
    <xf numFmtId="0" fontId="0" fillId="3" borderId="17" xfId="0" applyFill="1" applyBorder="1"/>
    <xf numFmtId="0" fontId="4" fillId="0" borderId="0" xfId="0" applyFont="1"/>
    <xf numFmtId="0" fontId="4" fillId="0" borderId="1" xfId="0" applyFont="1" applyBorder="1"/>
    <xf numFmtId="14" fontId="4" fillId="0" borderId="5" xfId="0" applyNumberFormat="1" applyFont="1" applyBorder="1"/>
    <xf numFmtId="0" fontId="4" fillId="0" borderId="2" xfId="0" applyFont="1" applyBorder="1"/>
    <xf numFmtId="14" fontId="4" fillId="0" borderId="7" xfId="0" applyNumberFormat="1" applyFont="1" applyBorder="1"/>
    <xf numFmtId="0" fontId="3" fillId="2" borderId="14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10"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5"/>
  <sheetViews>
    <sheetView tabSelected="1" workbookViewId="0">
      <selection activeCell="B16" sqref="B16"/>
    </sheetView>
  </sheetViews>
  <sheetFormatPr defaultRowHeight="15" x14ac:dyDescent="0.25"/>
  <cols>
    <col min="1" max="1" width="30.140625" customWidth="1"/>
    <col min="2" max="2" width="10" customWidth="1"/>
    <col min="3" max="3" width="10.85546875" customWidth="1"/>
    <col min="4" max="4" width="10.5703125" customWidth="1"/>
    <col min="5" max="5" width="11.42578125" customWidth="1"/>
    <col min="6" max="6" width="11.28515625" customWidth="1"/>
    <col min="7" max="9" width="11" customWidth="1"/>
    <col min="10" max="10" width="11.5703125" customWidth="1"/>
    <col min="11" max="11" width="11.28515625" customWidth="1"/>
  </cols>
  <sheetData>
    <row r="1" spans="1:11" ht="70.5" customHeight="1" thickBot="1" x14ac:dyDescent="0.75">
      <c r="A1" s="27" t="s">
        <v>18</v>
      </c>
      <c r="B1" s="28"/>
      <c r="C1" s="28"/>
      <c r="D1" s="28"/>
      <c r="E1" s="28"/>
      <c r="F1" s="28"/>
      <c r="G1" s="28"/>
      <c r="H1" s="28"/>
      <c r="I1" s="28"/>
      <c r="J1" s="28"/>
      <c r="K1" s="29"/>
    </row>
    <row r="2" spans="1:11" ht="30" customHeight="1" x14ac:dyDescent="0.25">
      <c r="A2" s="10" t="s">
        <v>0</v>
      </c>
      <c r="B2" s="30" t="s">
        <v>11</v>
      </c>
      <c r="C2" s="31"/>
      <c r="D2" s="30" t="s">
        <v>14</v>
      </c>
      <c r="E2" s="31"/>
      <c r="F2" s="30" t="s">
        <v>15</v>
      </c>
      <c r="G2" s="31"/>
      <c r="H2" s="30" t="s">
        <v>16</v>
      </c>
      <c r="I2" s="31"/>
      <c r="J2" s="32" t="s">
        <v>17</v>
      </c>
      <c r="K2" s="33"/>
    </row>
    <row r="3" spans="1:11" ht="21" customHeight="1" x14ac:dyDescent="0.25">
      <c r="A3" s="1"/>
      <c r="B3" s="17" t="s">
        <v>12</v>
      </c>
      <c r="C3" s="18" t="s">
        <v>13</v>
      </c>
      <c r="D3" s="17" t="s">
        <v>12</v>
      </c>
      <c r="E3" s="18" t="s">
        <v>13</v>
      </c>
      <c r="F3" s="17" t="s">
        <v>12</v>
      </c>
      <c r="G3" s="18" t="s">
        <v>13</v>
      </c>
      <c r="H3" s="17" t="s">
        <v>12</v>
      </c>
      <c r="I3" s="18" t="s">
        <v>13</v>
      </c>
      <c r="J3" s="17" t="s">
        <v>12</v>
      </c>
      <c r="K3" s="19" t="s">
        <v>13</v>
      </c>
    </row>
    <row r="4" spans="1:11" ht="19.5" customHeight="1" x14ac:dyDescent="0.25">
      <c r="A4" s="23" t="s">
        <v>1</v>
      </c>
      <c r="B4" s="24">
        <v>45829</v>
      </c>
      <c r="C4" s="8">
        <f>EDATE(B4,12)</f>
        <v>46194</v>
      </c>
      <c r="D4" s="24">
        <v>45810</v>
      </c>
      <c r="E4" s="8">
        <f>EDATE(D4,12)</f>
        <v>46175</v>
      </c>
      <c r="F4" s="24">
        <v>46146</v>
      </c>
      <c r="G4" s="8">
        <f>EDATE(F4,12)</f>
        <v>46511</v>
      </c>
      <c r="H4" s="24">
        <v>46146</v>
      </c>
      <c r="I4" s="8">
        <f>EDATE(H4,12)</f>
        <v>46511</v>
      </c>
      <c r="J4" s="24">
        <v>45454</v>
      </c>
      <c r="K4" s="6">
        <f>EDATE(J4,36)</f>
        <v>46549</v>
      </c>
    </row>
    <row r="5" spans="1:11" ht="19.5" customHeight="1" x14ac:dyDescent="0.25">
      <c r="A5" s="23" t="s">
        <v>2</v>
      </c>
      <c r="B5" s="24">
        <v>46209</v>
      </c>
      <c r="C5" s="8">
        <f t="shared" ref="C5:E15" si="0">EDATE(B5,12)</f>
        <v>46574</v>
      </c>
      <c r="D5" s="24">
        <v>45992</v>
      </c>
      <c r="E5" s="8">
        <f t="shared" si="0"/>
        <v>46357</v>
      </c>
      <c r="F5" s="24">
        <v>46090</v>
      </c>
      <c r="G5" s="8">
        <f t="shared" ref="G5:I5" si="1">EDATE(F5,12)</f>
        <v>46455</v>
      </c>
      <c r="H5" s="24">
        <v>46204</v>
      </c>
      <c r="I5" s="8">
        <f t="shared" si="1"/>
        <v>46569</v>
      </c>
      <c r="J5" s="24">
        <v>45384</v>
      </c>
      <c r="K5" s="6">
        <f t="shared" ref="K5:K15" si="2">EDATE(J5,36)</f>
        <v>46479</v>
      </c>
    </row>
    <row r="6" spans="1:11" ht="19.5" customHeight="1" x14ac:dyDescent="0.25">
      <c r="A6" s="23" t="s">
        <v>3</v>
      </c>
      <c r="B6" s="24">
        <v>46209</v>
      </c>
      <c r="C6" s="8">
        <f t="shared" si="0"/>
        <v>46574</v>
      </c>
      <c r="D6" s="24">
        <v>46204</v>
      </c>
      <c r="E6" s="8">
        <f t="shared" si="0"/>
        <v>46569</v>
      </c>
      <c r="F6" s="24">
        <v>46204</v>
      </c>
      <c r="G6" s="8">
        <f t="shared" ref="G6:I6" si="3">EDATE(F6,12)</f>
        <v>46569</v>
      </c>
      <c r="H6" s="24">
        <v>46204</v>
      </c>
      <c r="I6" s="8">
        <f t="shared" si="3"/>
        <v>46569</v>
      </c>
      <c r="J6" s="24">
        <v>45244</v>
      </c>
      <c r="K6" s="6">
        <f t="shared" si="2"/>
        <v>46340</v>
      </c>
    </row>
    <row r="7" spans="1:11" ht="19.5" customHeight="1" x14ac:dyDescent="0.25">
      <c r="A7" s="23" t="s">
        <v>4</v>
      </c>
      <c r="B7" s="24">
        <v>46232</v>
      </c>
      <c r="C7" s="8">
        <f t="shared" si="0"/>
        <v>46597</v>
      </c>
      <c r="D7" s="24">
        <v>46104</v>
      </c>
      <c r="E7" s="8">
        <f t="shared" si="0"/>
        <v>46469</v>
      </c>
      <c r="F7" s="24">
        <v>46104</v>
      </c>
      <c r="G7" s="8">
        <f t="shared" ref="G7:I7" si="4">EDATE(F7,12)</f>
        <v>46469</v>
      </c>
      <c r="H7" s="24">
        <v>45978</v>
      </c>
      <c r="I7" s="8">
        <f t="shared" si="4"/>
        <v>46343</v>
      </c>
      <c r="J7" s="24">
        <v>45303</v>
      </c>
      <c r="K7" s="6">
        <f t="shared" si="2"/>
        <v>46399</v>
      </c>
    </row>
    <row r="8" spans="1:11" ht="19.5" customHeight="1" x14ac:dyDescent="0.25">
      <c r="A8" s="23" t="s">
        <v>5</v>
      </c>
      <c r="B8" s="24">
        <v>45305</v>
      </c>
      <c r="C8" s="8">
        <f t="shared" si="0"/>
        <v>45671</v>
      </c>
      <c r="D8" s="24">
        <v>45827</v>
      </c>
      <c r="E8" s="8">
        <f t="shared" si="0"/>
        <v>46192</v>
      </c>
      <c r="F8" s="24">
        <v>46204</v>
      </c>
      <c r="G8" s="8">
        <f t="shared" ref="G8:I8" si="5">EDATE(F8,12)</f>
        <v>46569</v>
      </c>
      <c r="H8" s="24">
        <v>45827</v>
      </c>
      <c r="I8" s="8">
        <f t="shared" si="5"/>
        <v>46192</v>
      </c>
      <c r="J8" s="24">
        <v>45296</v>
      </c>
      <c r="K8" s="6">
        <f t="shared" si="2"/>
        <v>46392</v>
      </c>
    </row>
    <row r="9" spans="1:11" ht="19.5" customHeight="1" x14ac:dyDescent="0.25">
      <c r="A9" s="23" t="s">
        <v>6</v>
      </c>
      <c r="B9" s="24">
        <v>45784</v>
      </c>
      <c r="C9" s="8">
        <f t="shared" si="0"/>
        <v>46149</v>
      </c>
      <c r="D9" s="24">
        <v>44740</v>
      </c>
      <c r="E9" s="8">
        <f t="shared" si="0"/>
        <v>45105</v>
      </c>
      <c r="F9" s="24">
        <v>45222</v>
      </c>
      <c r="G9" s="8">
        <f t="shared" ref="G9:I9" si="6">EDATE(F9,12)</f>
        <v>45588</v>
      </c>
      <c r="H9" s="24">
        <v>45553</v>
      </c>
      <c r="I9" s="8">
        <f t="shared" si="6"/>
        <v>45918</v>
      </c>
      <c r="J9" s="24">
        <v>43697</v>
      </c>
      <c r="K9" s="6">
        <f t="shared" si="2"/>
        <v>44793</v>
      </c>
    </row>
    <row r="10" spans="1:11" ht="19.5" customHeight="1" x14ac:dyDescent="0.25">
      <c r="A10" s="23" t="s">
        <v>7</v>
      </c>
      <c r="B10" s="24">
        <v>46171</v>
      </c>
      <c r="C10" s="8">
        <f t="shared" si="0"/>
        <v>46536</v>
      </c>
      <c r="D10" s="24">
        <v>46204</v>
      </c>
      <c r="E10" s="8">
        <f t="shared" si="0"/>
        <v>46569</v>
      </c>
      <c r="F10" s="24">
        <v>46204</v>
      </c>
      <c r="G10" s="8">
        <f t="shared" ref="G10:I10" si="7">EDATE(F10,12)</f>
        <v>46569</v>
      </c>
      <c r="H10" s="24">
        <v>46204</v>
      </c>
      <c r="I10" s="8">
        <f t="shared" si="7"/>
        <v>46569</v>
      </c>
      <c r="J10" s="24">
        <v>45763</v>
      </c>
      <c r="K10" s="6">
        <f t="shared" si="2"/>
        <v>46859</v>
      </c>
    </row>
    <row r="11" spans="1:11" ht="19.5" customHeight="1" x14ac:dyDescent="0.25">
      <c r="A11" s="23" t="s">
        <v>8</v>
      </c>
      <c r="B11" s="24">
        <v>46229</v>
      </c>
      <c r="C11" s="8">
        <f t="shared" si="0"/>
        <v>46594</v>
      </c>
      <c r="D11" s="24">
        <v>46112</v>
      </c>
      <c r="E11" s="8">
        <f t="shared" si="0"/>
        <v>46477</v>
      </c>
      <c r="F11" s="24">
        <v>45222</v>
      </c>
      <c r="G11" s="8">
        <f t="shared" ref="G11:I11" si="8">EDATE(F11,12)</f>
        <v>45588</v>
      </c>
      <c r="H11" s="24">
        <v>32874</v>
      </c>
      <c r="I11" s="8">
        <f t="shared" si="8"/>
        <v>33239</v>
      </c>
      <c r="J11" s="24">
        <v>45299</v>
      </c>
      <c r="K11" s="6">
        <f t="shared" si="2"/>
        <v>46395</v>
      </c>
    </row>
    <row r="12" spans="1:11" ht="19.5" customHeight="1" x14ac:dyDescent="0.25">
      <c r="A12" s="23" t="s">
        <v>9</v>
      </c>
      <c r="B12" s="24">
        <v>46164</v>
      </c>
      <c r="C12" s="8">
        <f t="shared" si="0"/>
        <v>46529</v>
      </c>
      <c r="D12" s="24">
        <v>46154</v>
      </c>
      <c r="E12" s="8">
        <f t="shared" si="0"/>
        <v>46519</v>
      </c>
      <c r="F12" s="24">
        <v>46154</v>
      </c>
      <c r="G12" s="8">
        <f t="shared" ref="G12:I12" si="9">EDATE(F12,12)</f>
        <v>46519</v>
      </c>
      <c r="H12" s="24">
        <v>46154</v>
      </c>
      <c r="I12" s="8">
        <f t="shared" si="9"/>
        <v>46519</v>
      </c>
      <c r="J12" s="24">
        <v>45299</v>
      </c>
      <c r="K12" s="6">
        <f t="shared" si="2"/>
        <v>46395</v>
      </c>
    </row>
    <row r="13" spans="1:11" ht="19.5" customHeight="1" x14ac:dyDescent="0.25">
      <c r="A13" s="23" t="s">
        <v>10</v>
      </c>
      <c r="B13" s="24">
        <v>46120</v>
      </c>
      <c r="C13" s="8">
        <f t="shared" si="0"/>
        <v>46485</v>
      </c>
      <c r="D13" s="24">
        <v>45719</v>
      </c>
      <c r="E13" s="8">
        <f t="shared" si="0"/>
        <v>46084</v>
      </c>
      <c r="F13" s="24">
        <v>45719</v>
      </c>
      <c r="G13" s="8">
        <f t="shared" ref="G13:I13" si="10">EDATE(F13,12)</f>
        <v>46084</v>
      </c>
      <c r="H13" s="24">
        <v>45719</v>
      </c>
      <c r="I13" s="8">
        <f t="shared" si="10"/>
        <v>46084</v>
      </c>
      <c r="J13" s="24">
        <v>32874</v>
      </c>
      <c r="K13" s="6">
        <f t="shared" si="2"/>
        <v>33970</v>
      </c>
    </row>
    <row r="14" spans="1:11" ht="19.5" customHeight="1" x14ac:dyDescent="0.25">
      <c r="A14" s="23" t="s">
        <v>33</v>
      </c>
      <c r="B14" s="24">
        <v>45672</v>
      </c>
      <c r="C14" s="8">
        <f t="shared" si="0"/>
        <v>46037</v>
      </c>
      <c r="D14" s="24">
        <v>45827</v>
      </c>
      <c r="E14" s="8">
        <f t="shared" si="0"/>
        <v>46192</v>
      </c>
      <c r="F14" s="24">
        <v>45681</v>
      </c>
      <c r="G14" s="8">
        <f t="shared" ref="G14:I14" si="11">EDATE(F14,12)</f>
        <v>46046</v>
      </c>
      <c r="H14" s="24">
        <v>45681</v>
      </c>
      <c r="I14" s="8">
        <f t="shared" si="11"/>
        <v>46046</v>
      </c>
      <c r="J14" s="24">
        <v>45296</v>
      </c>
      <c r="K14" s="6">
        <f t="shared" si="2"/>
        <v>46392</v>
      </c>
    </row>
    <row r="15" spans="1:11" ht="19.5" customHeight="1" thickBot="1" x14ac:dyDescent="0.3">
      <c r="A15" s="25" t="s">
        <v>34</v>
      </c>
      <c r="B15" s="26">
        <v>46241</v>
      </c>
      <c r="C15" s="9">
        <f t="shared" si="0"/>
        <v>46606</v>
      </c>
      <c r="D15" s="26">
        <v>45734</v>
      </c>
      <c r="E15" s="9">
        <f t="shared" si="0"/>
        <v>46099</v>
      </c>
      <c r="F15" s="26">
        <v>45734</v>
      </c>
      <c r="G15" s="9">
        <f t="shared" ref="G15:I15" si="12">EDATE(F15,12)</f>
        <v>46099</v>
      </c>
      <c r="H15" s="26">
        <v>45734</v>
      </c>
      <c r="I15" s="9">
        <f t="shared" si="12"/>
        <v>46099</v>
      </c>
      <c r="J15" s="26">
        <v>45611</v>
      </c>
      <c r="K15" s="7">
        <f t="shared" si="2"/>
        <v>46706</v>
      </c>
    </row>
    <row r="18" spans="1:13" ht="15.75" thickBot="1" x14ac:dyDescent="0.3"/>
    <row r="19" spans="1:13" ht="15.75" thickBot="1" x14ac:dyDescent="0.3">
      <c r="A19" s="11" t="s">
        <v>19</v>
      </c>
      <c r="B19" s="12"/>
      <c r="C19" s="13" t="s">
        <v>26</v>
      </c>
    </row>
    <row r="20" spans="1:13" x14ac:dyDescent="0.25">
      <c r="A20" s="21" t="s">
        <v>20</v>
      </c>
      <c r="B20" s="14"/>
      <c r="C20" s="20"/>
      <c r="E20" t="s">
        <v>29</v>
      </c>
      <c r="M20" s="22"/>
    </row>
    <row r="21" spans="1:13" x14ac:dyDescent="0.25">
      <c r="A21" s="2" t="s">
        <v>21</v>
      </c>
      <c r="B21" s="14"/>
      <c r="C21" s="3" t="s">
        <v>27</v>
      </c>
      <c r="E21" t="s">
        <v>30</v>
      </c>
      <c r="F21" s="16"/>
    </row>
    <row r="22" spans="1:13" x14ac:dyDescent="0.25">
      <c r="A22" s="2" t="s">
        <v>22</v>
      </c>
      <c r="B22" s="14"/>
      <c r="C22" s="3" t="s">
        <v>27</v>
      </c>
      <c r="E22" t="s">
        <v>32</v>
      </c>
    </row>
    <row r="23" spans="1:13" x14ac:dyDescent="0.25">
      <c r="A23" s="2" t="s">
        <v>23</v>
      </c>
      <c r="B23" s="14"/>
      <c r="C23" s="3" t="s">
        <v>27</v>
      </c>
      <c r="E23" t="s">
        <v>31</v>
      </c>
    </row>
    <row r="24" spans="1:13" x14ac:dyDescent="0.25">
      <c r="A24" s="2" t="s">
        <v>24</v>
      </c>
      <c r="B24" s="14"/>
      <c r="C24" s="3" t="s">
        <v>27</v>
      </c>
    </row>
    <row r="25" spans="1:13" ht="15.75" thickBot="1" x14ac:dyDescent="0.3">
      <c r="A25" s="4" t="s">
        <v>25</v>
      </c>
      <c r="B25" s="15"/>
      <c r="C25" s="5" t="s">
        <v>28</v>
      </c>
    </row>
  </sheetData>
  <sheetProtection algorithmName="SHA-512" hashValue="WwHr9Y54RAKWhPqsOPLIDi50SavawlpnHQeCqI+JN3Zf9tcHML9wdTUjMBElAL8hBkMRqDFmb+6z+LFnDpEYyw==" saltValue="LNmaMIhCEuwqbRL5w0Whrg==" spinCount="100000" sheet="1" objects="1" scenarios="1"/>
  <protectedRanges>
    <protectedRange sqref="D4:D15 F4:F15 H4:H15 J4:J15 A4:B15" name="Range1"/>
  </protectedRanges>
  <mergeCells count="6">
    <mergeCell ref="A1:K1"/>
    <mergeCell ref="B2:C2"/>
    <mergeCell ref="D2:E2"/>
    <mergeCell ref="F2:G2"/>
    <mergeCell ref="H2:I2"/>
    <mergeCell ref="J2:K2"/>
  </mergeCells>
  <conditionalFormatting sqref="C4:C15">
    <cfRule type="expression" dxfId="9" priority="14">
      <formula>C4&lt;TODAY()</formula>
    </cfRule>
    <cfRule type="expression" dxfId="8" priority="5">
      <formula>AND(C4&lt;TODAY()+90,C4&gt;TODAY())</formula>
    </cfRule>
  </conditionalFormatting>
  <conditionalFormatting sqref="E4:E15">
    <cfRule type="expression" dxfId="7" priority="13">
      <formula>E4&lt;TODAY()</formula>
    </cfRule>
    <cfRule type="expression" dxfId="6" priority="4">
      <formula>AND(E4&lt;TODAY()+90,E4&gt;TODAY())</formula>
    </cfRule>
  </conditionalFormatting>
  <conditionalFormatting sqref="G4:G15">
    <cfRule type="expression" dxfId="5" priority="12">
      <formula>G4&lt;TODAY()</formula>
    </cfRule>
    <cfRule type="expression" dxfId="4" priority="3">
      <formula>AND(G4&lt;TODAY()+90,G4&gt;TODAY())</formula>
    </cfRule>
  </conditionalFormatting>
  <conditionalFormatting sqref="I4:I15">
    <cfRule type="expression" dxfId="3" priority="11">
      <formula>I4&lt;TODAY()</formula>
    </cfRule>
    <cfRule type="expression" dxfId="2" priority="2">
      <formula>AND(I4&lt;TODAY()+90,I4&gt;TODAY())</formula>
    </cfRule>
  </conditionalFormatting>
  <conditionalFormatting sqref="K4:K15">
    <cfRule type="expression" dxfId="1" priority="10">
      <formula>K4&lt;TODAY()</formula>
    </cfRule>
    <cfRule type="expression" dxfId="0" priority="1">
      <formula>AND(K4&lt;TODAY()+90,K4&gt;TODAY())</formula>
    </cfRule>
  </conditionalFormatting>
  <pageMargins left="0.7" right="0.7" top="0.75" bottom="0.75" header="0.3" footer="0.3"/>
  <pageSetup scale="8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</dc:creator>
  <cp:lastModifiedBy>Mate</cp:lastModifiedBy>
  <cp:lastPrinted>2025-06-18T18:01:35Z</cp:lastPrinted>
  <dcterms:created xsi:type="dcterms:W3CDTF">2025-06-18T16:30:33Z</dcterms:created>
  <dcterms:modified xsi:type="dcterms:W3CDTF">2026-08-08T18:15:54Z</dcterms:modified>
</cp:coreProperties>
</file>